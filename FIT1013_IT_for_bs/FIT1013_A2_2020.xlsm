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Client\H$\Desktop\Sem_2_units\FIT1013\Assignment 2 1013\"/>
    </mc:Choice>
  </mc:AlternateContent>
  <xr:revisionPtr revIDLastSave="0" documentId="13_ncr:1_{470A0241-95C1-4DB7-B9EA-4160453179A2}" xr6:coauthVersionLast="36" xr6:coauthVersionMax="45" xr10:uidLastSave="{00000000-0000-0000-0000-000000000000}"/>
  <bookViews>
    <workbookView xWindow="0" yWindow="465" windowWidth="8175" windowHeight="2925" activeTab="6" xr2:uid="{D172BEFB-B1ED-4FAF-AC97-66D5D8DC035F}"/>
  </bookViews>
  <sheets>
    <sheet name="Customers" sheetId="2" r:id="rId1"/>
    <sheet name="Product Type" sheetId="3" r:id="rId2"/>
    <sheet name="Products" sheetId="4" r:id="rId3"/>
    <sheet name="Rentals" sheetId="5" r:id="rId4"/>
    <sheet name="Menu" sheetId="6" r:id="rId5"/>
    <sheet name="Summary1" sheetId="7" r:id="rId6"/>
    <sheet name="Summary" sheetId="8" r:id="rId7"/>
  </sheets>
  <definedNames>
    <definedName name="_xlnm._FilterDatabase" localSheetId="6" hidden="1">Summary!$A$3:$I$3</definedName>
    <definedName name="_Hlk18493811" localSheetId="3">Rentals!#REF!</definedName>
    <definedName name="Data">Customers!$B$2:$C$4</definedName>
    <definedName name="Order" localSheetId="2">#REF!</definedName>
    <definedName name="Order">#REF!</definedName>
    <definedName name="Product_Type">'Product Type'!$A$2:$D$4</definedName>
    <definedName name="Products">Products!$B$2:$B$23</definedName>
    <definedName name="roses" localSheetId="2">#REF!</definedName>
    <definedName name="roses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8" l="1"/>
  <c r="D37" i="8"/>
  <c r="F36" i="8"/>
  <c r="D36" i="8"/>
  <c r="F29" i="8"/>
  <c r="D29" i="8"/>
  <c r="F27" i="8"/>
  <c r="D27" i="8"/>
  <c r="F20" i="8"/>
  <c r="D20" i="8"/>
  <c r="F18" i="8"/>
  <c r="D18" i="8"/>
  <c r="F11" i="8"/>
  <c r="D11" i="8"/>
  <c r="F9" i="8"/>
  <c r="D9" i="8"/>
</calcChain>
</file>

<file path=xl/sharedStrings.xml><?xml version="1.0" encoding="utf-8"?>
<sst xmlns="http://schemas.openxmlformats.org/spreadsheetml/2006/main" count="325" uniqueCount="112">
  <si>
    <t>Magdalene</t>
  </si>
  <si>
    <t>03 9555 5555</t>
  </si>
  <si>
    <t>03 9922 2222</t>
  </si>
  <si>
    <t>Phone</t>
  </si>
  <si>
    <t>Email</t>
  </si>
  <si>
    <t>Customer</t>
  </si>
  <si>
    <t>Customer ID</t>
  </si>
  <si>
    <t>Quantity on hand</t>
  </si>
  <si>
    <t>Delivery cost</t>
  </si>
  <si>
    <t>Rent cost per day</t>
  </si>
  <si>
    <t>In</t>
  </si>
  <si>
    <t>Status</t>
  </si>
  <si>
    <t>Rental ID</t>
  </si>
  <si>
    <t>Cost</t>
  </si>
  <si>
    <t>N001</t>
  </si>
  <si>
    <t>N002</t>
  </si>
  <si>
    <t>N003</t>
  </si>
  <si>
    <t>N004</t>
  </si>
  <si>
    <t>Camera Drone</t>
  </si>
  <si>
    <t>Coding Robot</t>
  </si>
  <si>
    <t>Electric Gokart</t>
  </si>
  <si>
    <t>Bartholomew Archaeological Research</t>
  </si>
  <si>
    <t>Nathaniel</t>
  </si>
  <si>
    <t>Nathaniel@mail.com</t>
  </si>
  <si>
    <t>Thomas Ocean &amp; Sea Research Support</t>
  </si>
  <si>
    <t>Philip Forestry and Natural Resources</t>
  </si>
  <si>
    <t>Jude</t>
  </si>
  <si>
    <t>Jude@mail.com</t>
  </si>
  <si>
    <t>Magdalene@mail.com</t>
  </si>
  <si>
    <t>03 5144 4444</t>
  </si>
  <si>
    <t>EG008</t>
  </si>
  <si>
    <t>CR011</t>
  </si>
  <si>
    <t>CR009</t>
  </si>
  <si>
    <t>CR010</t>
  </si>
  <si>
    <t>CR007</t>
  </si>
  <si>
    <t>CR012</t>
  </si>
  <si>
    <t>CR013</t>
  </si>
  <si>
    <t>CR014</t>
  </si>
  <si>
    <t>CR015</t>
  </si>
  <si>
    <t>CR006</t>
  </si>
  <si>
    <t>CR008</t>
  </si>
  <si>
    <t>EG006</t>
  </si>
  <si>
    <t>EG007</t>
  </si>
  <si>
    <t>EG009</t>
  </si>
  <si>
    <t>EG010</t>
  </si>
  <si>
    <t>EG011</t>
  </si>
  <si>
    <t>EG012</t>
  </si>
  <si>
    <t>EG013</t>
  </si>
  <si>
    <t>EG014</t>
  </si>
  <si>
    <t>CD006</t>
  </si>
  <si>
    <t>CD007</t>
  </si>
  <si>
    <t>CD008</t>
  </si>
  <si>
    <t>CD009</t>
  </si>
  <si>
    <t>CD010</t>
  </si>
  <si>
    <t>CD011</t>
  </si>
  <si>
    <t>CD012</t>
  </si>
  <si>
    <t>CD013</t>
  </si>
  <si>
    <t>CD014</t>
  </si>
  <si>
    <t>CD015</t>
  </si>
  <si>
    <t>CP</t>
  </si>
  <si>
    <t>172 Neerim Rd, Carnegie 3163</t>
  </si>
  <si>
    <t>258 Clayton Rd, Clayton	3168</t>
  </si>
  <si>
    <t>11 Pearson St, Sale 3850</t>
  </si>
  <si>
    <t>Delivery address</t>
  </si>
  <si>
    <t>Alternative address</t>
  </si>
  <si>
    <t>2688, Shoreline Dr, Paradise Beach VIC 3851</t>
  </si>
  <si>
    <t>Tech toy type</t>
  </si>
  <si>
    <t>Tech toy  code</t>
  </si>
  <si>
    <t>Duration</t>
  </si>
  <si>
    <t xml:space="preserve"> Delivery date</t>
  </si>
  <si>
    <t xml:space="preserve"> Delivery time</t>
  </si>
  <si>
    <t xml:space="preserve"> Collection date</t>
  </si>
  <si>
    <t xml:space="preserve"> Collection time</t>
  </si>
  <si>
    <t>Welcome to SDR POS Application</t>
  </si>
  <si>
    <t>ABC Science School</t>
  </si>
  <si>
    <t>Martha</t>
  </si>
  <si>
    <t>03 9777 7777</t>
  </si>
  <si>
    <t>Martha@mail.com</t>
  </si>
  <si>
    <t>100 Power Rd, Doveton 3177</t>
  </si>
  <si>
    <t>Mary</t>
  </si>
  <si>
    <t>Mary@mail.com</t>
  </si>
  <si>
    <t>Summary of rental between</t>
  </si>
  <si>
    <t>and</t>
  </si>
  <si>
    <t>This summary is produced on :</t>
  </si>
  <si>
    <t>Collected</t>
  </si>
  <si>
    <t># of toys delivered</t>
  </si>
  <si>
    <t># of toys not yet collected</t>
  </si>
  <si>
    <t># of items collected</t>
  </si>
  <si>
    <t>$G$13:$D$22</t>
  </si>
  <si>
    <t>EG015</t>
  </si>
  <si>
    <t>Siu</t>
  </si>
  <si>
    <t>12 1231 1231</t>
  </si>
  <si>
    <t>12a@gmail.com</t>
  </si>
  <si>
    <t>13asd</t>
  </si>
  <si>
    <t>Heinrich</t>
  </si>
  <si>
    <t>18/08/2020</t>
  </si>
  <si>
    <t>Out</t>
  </si>
  <si>
    <t>N005</t>
  </si>
  <si>
    <t>N006</t>
  </si>
  <si>
    <t>Customer Name</t>
  </si>
  <si>
    <t>Bartholomew Archaeological Research Count</t>
  </si>
  <si>
    <t>Philip Forestry and Natural Resources Count</t>
  </si>
  <si>
    <t>ABC Science School Count</t>
  </si>
  <si>
    <t>Heinrich Count</t>
  </si>
  <si>
    <t>Grand Count</t>
  </si>
  <si>
    <t>Subtotal cost for Heinrich</t>
  </si>
  <si>
    <t>Subtotal cost for Bartholomew Archaeological Research</t>
  </si>
  <si>
    <t>Subtotal cost for Philip Forestry and Natural Resources</t>
  </si>
  <si>
    <t>Subtotal cost for ABC Science School</t>
  </si>
  <si>
    <t>Subtotal cost for Bartholomew Archaeological Research Count</t>
  </si>
  <si>
    <t>Subtotal cost for Philip Forestry and Natural Resources Count</t>
  </si>
  <si>
    <t>Subtotal cost for ABC Science School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</si>
</sst>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[$-F400]h:mm:ss\ AM/PM"/>
    <numFmt numFmtId="166" formatCode="h:mm:ss;@"/>
  </numFmts>
  <fonts count="1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11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i/>
      <sz val="12"/>
      <color theme="1"/>
      <name val="Times New Roman"/>
      <family val="1"/>
    </font>
    <font>
      <sz val="11"/>
      <name val="Tw Cen MT"/>
      <family val="2"/>
      <scheme val="minor"/>
    </font>
    <font>
      <sz val="8"/>
      <name val="Tw Cen MT"/>
      <family val="2"/>
      <scheme val="minor"/>
    </font>
    <font>
      <sz val="11"/>
      <color theme="0"/>
      <name val="Tw Cen MT"/>
      <family val="2"/>
      <scheme val="minor"/>
    </font>
    <font>
      <sz val="36"/>
      <color theme="0"/>
      <name val="Rubik Regular"/>
    </font>
    <font>
      <sz val="14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 style="double">
        <color rgb="FF3F3F3F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2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0" borderId="2" xfId="3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2" fillId="2" borderId="1" xfId="2" applyAlignment="1">
      <alignment horizontal="center" vertical="center" wrapText="1"/>
    </xf>
    <xf numFmtId="0" fontId="2" fillId="2" borderId="1" xfId="2" applyAlignment="1">
      <alignment horizontal="center" vertical="center"/>
    </xf>
    <xf numFmtId="0" fontId="4" fillId="0" borderId="0" xfId="0" applyFont="1"/>
    <xf numFmtId="0" fontId="0" fillId="0" borderId="0" xfId="0" applyAlignment="1">
      <alignment vertical="center"/>
    </xf>
    <xf numFmtId="0" fontId="5" fillId="0" borderId="2" xfId="0" applyFont="1" applyBorder="1" applyAlignment="1">
      <alignment horizontal="left" vertical="center"/>
    </xf>
    <xf numFmtId="164" fontId="5" fillId="0" borderId="2" xfId="1" applyNumberFormat="1" applyFont="1" applyBorder="1" applyAlignment="1">
      <alignment horizontal="center" vertical="center"/>
    </xf>
    <xf numFmtId="1" fontId="5" fillId="0" borderId="2" xfId="1" applyNumberFormat="1" applyFont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/>
    <xf numFmtId="0" fontId="8" fillId="4" borderId="0" xfId="0" applyFont="1" applyFill="1"/>
    <xf numFmtId="19" fontId="0" fillId="0" borderId="0" xfId="0" applyNumberFormat="1"/>
    <xf numFmtId="0" fontId="0" fillId="5" borderId="2" xfId="0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14" fontId="0" fillId="0" borderId="0" xfId="0" applyNumberFormat="1"/>
    <xf numFmtId="8" fontId="0" fillId="0" borderId="0" xfId="0" applyNumberFormat="1"/>
    <xf numFmtId="14" fontId="9" fillId="8" borderId="4" xfId="0" applyNumberFormat="1" applyFont="1" applyFill="1" applyBorder="1" applyAlignment="1">
      <alignment horizontal="center"/>
    </xf>
    <xf numFmtId="14" fontId="9" fillId="8" borderId="3" xfId="0" applyNumberFormat="1" applyFont="1" applyFill="1" applyBorder="1" applyAlignment="1">
      <alignment horizontal="center"/>
    </xf>
    <xf numFmtId="0" fontId="9" fillId="8" borderId="5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22" fontId="0" fillId="0" borderId="6" xfId="0" applyNumberFormat="1" applyBorder="1" applyAlignment="1">
      <alignment horizontal="center"/>
    </xf>
    <xf numFmtId="0" fontId="9" fillId="8" borderId="5" xfId="0" applyFont="1" applyFill="1" applyBorder="1" applyAlignment="1">
      <alignment horizontal="center"/>
    </xf>
    <xf numFmtId="7" fontId="0" fillId="0" borderId="0" xfId="0" applyNumberFormat="1"/>
    <xf numFmtId="165" fontId="0" fillId="0" borderId="0" xfId="0" applyNumberFormat="1"/>
    <xf numFmtId="165" fontId="2" fillId="2" borderId="1" xfId="2" applyNumberFormat="1" applyAlignment="1">
      <alignment horizontal="center" vertical="center" wrapText="1"/>
    </xf>
    <xf numFmtId="0" fontId="0" fillId="9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166" fontId="2" fillId="2" borderId="1" xfId="2" applyNumberFormat="1" applyAlignment="1">
      <alignment horizontal="center" vertical="center"/>
    </xf>
    <xf numFmtId="166" fontId="0" fillId="0" borderId="0" xfId="0" applyNumberFormat="1"/>
    <xf numFmtId="14" fontId="2" fillId="2" borderId="1" xfId="2" applyNumberFormat="1" applyAlignment="1">
      <alignment horizontal="center" vertical="center"/>
    </xf>
    <xf numFmtId="14" fontId="0" fillId="7" borderId="0" xfId="0" applyNumberFormat="1" applyFill="1" applyAlignment="1">
      <alignment horizontal="right"/>
    </xf>
    <xf numFmtId="21" fontId="0" fillId="7" borderId="0" xfId="0" applyNumberFormat="1" applyFill="1"/>
    <xf numFmtId="7" fontId="0" fillId="7" borderId="0" xfId="0" applyNumberFormat="1" applyFill="1"/>
    <xf numFmtId="1" fontId="2" fillId="2" borderId="1" xfId="2" applyNumberFormat="1" applyAlignment="1">
      <alignment horizontal="center" vertical="center"/>
    </xf>
    <xf numFmtId="1" fontId="0" fillId="0" borderId="0" xfId="0" applyNumberFormat="1"/>
    <xf numFmtId="1" fontId="0" fillId="7" borderId="0" xfId="0" applyNumberFormat="1" applyFill="1"/>
    <xf numFmtId="14" fontId="0" fillId="7" borderId="0" xfId="0" applyNumberFormat="1" applyFill="1"/>
    <xf numFmtId="20" fontId="0" fillId="7" borderId="0" xfId="0" applyNumberFormat="1" applyFill="1"/>
    <xf numFmtId="0" fontId="9" fillId="8" borderId="5" xfId="0" applyFont="1" applyFill="1" applyBorder="1" applyAlignment="1">
      <alignment horizontal="center"/>
    </xf>
    <xf numFmtId="0" fontId="0" fillId="0" borderId="0" xfId="0" applyAlignment="1">
      <alignment horizontal="right"/>
    </xf>
    <xf numFmtId="166" fontId="0" fillId="3" borderId="0" xfId="0" applyNumberFormat="1" applyFill="1"/>
    <xf numFmtId="14" fontId="0" fillId="5" borderId="0" xfId="0" applyNumberFormat="1" applyFill="1"/>
    <xf numFmtId="166" fontId="0" fillId="5" borderId="0" xfId="0" applyNumberFormat="1" applyFill="1"/>
    <xf numFmtId="1" fontId="0" fillId="5" borderId="0" xfId="0" applyNumberFormat="1" applyFill="1"/>
    <xf numFmtId="0" fontId="0" fillId="5" borderId="0" xfId="0" applyFill="1"/>
    <xf numFmtId="0" fontId="9" fillId="8" borderId="5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NumberFormat="1"/>
    <xf numFmtId="0" fontId="10" fillId="0" borderId="0" xfId="0" applyFont="1"/>
    <xf numFmtId="0" fontId="0" fillId="7" borderId="0" xfId="0" applyNumberFormat="1" applyFill="1" applyAlignment="1">
      <alignment horizontal="right"/>
    </xf>
    <xf numFmtId="0" fontId="10" fillId="0" borderId="0" xfId="0" applyFont="1" applyAlignment="1">
      <alignment horizontal="right"/>
    </xf>
    <xf numFmtId="0" fontId="0" fillId="3" borderId="0" xfId="0" applyNumberFormat="1" applyFill="1"/>
    <xf numFmtId="0" fontId="0" fillId="5" borderId="0" xfId="0" applyNumberFormat="1" applyFill="1"/>
  </cellXfs>
  <cellStyles count="4">
    <cellStyle name="Check Cell" xfId="2" builtinId="23"/>
    <cellStyle name="Currency" xfId="1" builtinId="4"/>
    <cellStyle name="Hyperlink" xfId="3" builtinId="8"/>
    <cellStyle name="Normal" xfId="0" builtinId="0"/>
  </cellStyles>
  <dxfs count="35"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6</xdr:row>
      <xdr:rowOff>177800</xdr:rowOff>
    </xdr:from>
    <xdr:to>
      <xdr:col>6</xdr:col>
      <xdr:colOff>571500</xdr:colOff>
      <xdr:row>11</xdr:row>
      <xdr:rowOff>88900</xdr:rowOff>
    </xdr:to>
    <xdr:sp macro="" textlink="">
      <xdr:nvSpPr>
        <xdr:cNvPr id="1025" name="cmdShowMenu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104775</xdr:rowOff>
        </xdr:from>
        <xdr:to>
          <xdr:col>9</xdr:col>
          <xdr:colOff>466725</xdr:colOff>
          <xdr:row>11</xdr:row>
          <xdr:rowOff>85725</xdr:rowOff>
        </xdr:to>
        <xdr:sp macro="" textlink="">
          <xdr:nvSpPr>
            <xdr:cNvPr id="2" name="cmbShowMenu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8ECB1-0088-4729-AE8E-285A790F6F55}">
  <sheetPr codeName="Sheet4"/>
  <dimension ref="A1:G7"/>
  <sheetViews>
    <sheetView zoomScale="145" zoomScaleNormal="145" workbookViewId="0">
      <selection activeCell="A2" sqref="A2"/>
    </sheetView>
  </sheetViews>
  <sheetFormatPr defaultColWidth="8.875" defaultRowHeight="14.25"/>
  <cols>
    <col min="1" max="1" width="11.375" style="1" customWidth="1"/>
    <col min="2" max="2" width="33.5" style="2" customWidth="1"/>
    <col min="3" max="3" width="10" style="1" customWidth="1"/>
    <col min="4" max="4" width="16.75" style="1" customWidth="1"/>
    <col min="5" max="5" width="19.5" style="1" customWidth="1"/>
    <col min="6" max="6" width="25.875" style="1" customWidth="1"/>
    <col min="7" max="7" width="39.5" style="1" customWidth="1"/>
  </cols>
  <sheetData>
    <row r="1" spans="1:7" ht="15.75" thickTop="1" thickBot="1">
      <c r="A1" s="8" t="s">
        <v>6</v>
      </c>
      <c r="B1" s="8" t="s">
        <v>5</v>
      </c>
      <c r="C1" s="8" t="s">
        <v>59</v>
      </c>
      <c r="D1" s="8" t="s">
        <v>3</v>
      </c>
      <c r="E1" s="8" t="s">
        <v>4</v>
      </c>
      <c r="F1" s="8" t="s">
        <v>63</v>
      </c>
      <c r="G1" s="8" t="s">
        <v>64</v>
      </c>
    </row>
    <row r="2" spans="1:7" ht="15" thickTop="1">
      <c r="A2" s="7">
        <v>1</v>
      </c>
      <c r="B2" s="6" t="s">
        <v>21</v>
      </c>
      <c r="C2" s="4" t="s">
        <v>22</v>
      </c>
      <c r="D2" s="3" t="s">
        <v>2</v>
      </c>
      <c r="E2" s="5" t="s">
        <v>23</v>
      </c>
      <c r="F2" s="11" t="s">
        <v>60</v>
      </c>
      <c r="G2" s="4"/>
    </row>
    <row r="3" spans="1:7">
      <c r="A3" s="7">
        <v>2</v>
      </c>
      <c r="B3" s="6" t="s">
        <v>25</v>
      </c>
      <c r="C3" s="4" t="s">
        <v>26</v>
      </c>
      <c r="D3" s="3" t="s">
        <v>1</v>
      </c>
      <c r="E3" s="5" t="s">
        <v>27</v>
      </c>
      <c r="F3" s="4" t="s">
        <v>61</v>
      </c>
      <c r="G3" s="4"/>
    </row>
    <row r="4" spans="1:7">
      <c r="A4" s="7">
        <v>3</v>
      </c>
      <c r="B4" s="6" t="s">
        <v>24</v>
      </c>
      <c r="C4" s="4" t="s">
        <v>0</v>
      </c>
      <c r="D4" s="3" t="s">
        <v>29</v>
      </c>
      <c r="E4" s="5" t="s">
        <v>28</v>
      </c>
      <c r="F4" s="4" t="s">
        <v>62</v>
      </c>
      <c r="G4" s="4" t="s">
        <v>65</v>
      </c>
    </row>
    <row r="5" spans="1:7">
      <c r="A5" s="21">
        <v>5</v>
      </c>
      <c r="B5" s="22" t="s">
        <v>74</v>
      </c>
      <c r="C5" s="21" t="s">
        <v>75</v>
      </c>
      <c r="D5" s="21" t="s">
        <v>76</v>
      </c>
      <c r="E5" s="21" t="s">
        <v>77</v>
      </c>
      <c r="F5" s="21" t="s">
        <v>78</v>
      </c>
      <c r="G5" s="21"/>
    </row>
    <row r="6" spans="1:7">
      <c r="A6" s="21">
        <v>7</v>
      </c>
      <c r="B6" s="22" t="s">
        <v>74</v>
      </c>
      <c r="C6" s="21" t="s">
        <v>79</v>
      </c>
      <c r="D6" s="21" t="s">
        <v>76</v>
      </c>
      <c r="E6" s="21" t="s">
        <v>80</v>
      </c>
      <c r="F6" s="21" t="s">
        <v>78</v>
      </c>
      <c r="G6" s="21"/>
    </row>
    <row r="7" spans="1:7">
      <c r="A7" s="21">
        <v>8</v>
      </c>
      <c r="B7" s="22" t="s">
        <v>94</v>
      </c>
      <c r="C7" s="21" t="s">
        <v>90</v>
      </c>
      <c r="D7" s="21" t="s">
        <v>91</v>
      </c>
      <c r="E7" s="21" t="s">
        <v>92</v>
      </c>
      <c r="F7" s="21" t="s">
        <v>93</v>
      </c>
      <c r="G7" s="21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4FE21-6352-4DB9-BE3F-438832C8FCDB}">
  <sheetPr codeName="Sheet3"/>
  <dimension ref="A1:H4"/>
  <sheetViews>
    <sheetView workbookViewId="0">
      <selection activeCell="A5" sqref="A5"/>
    </sheetView>
  </sheetViews>
  <sheetFormatPr defaultColWidth="8.875" defaultRowHeight="14.25"/>
  <cols>
    <col min="1" max="1" width="13.5" customWidth="1"/>
    <col min="2" max="2" width="15.625" customWidth="1"/>
    <col min="3" max="3" width="11.625" customWidth="1"/>
    <col min="4" max="4" width="15.875" customWidth="1"/>
    <col min="5" max="6" width="12.5" customWidth="1"/>
  </cols>
  <sheetData>
    <row r="1" spans="1:8" ht="30" customHeight="1" thickTop="1" thickBot="1">
      <c r="A1" s="8" t="s">
        <v>66</v>
      </c>
      <c r="B1" s="9" t="s">
        <v>9</v>
      </c>
      <c r="C1" s="9" t="s">
        <v>8</v>
      </c>
      <c r="D1" s="9" t="s">
        <v>7</v>
      </c>
    </row>
    <row r="2" spans="1:8" ht="15" thickTop="1">
      <c r="A2" s="12" t="s">
        <v>18</v>
      </c>
      <c r="B2" s="13">
        <v>22</v>
      </c>
      <c r="C2" s="13">
        <v>5</v>
      </c>
      <c r="D2" s="14">
        <v>4</v>
      </c>
      <c r="E2" s="18"/>
      <c r="F2" s="18"/>
    </row>
    <row r="3" spans="1:8">
      <c r="A3" s="12" t="s">
        <v>19</v>
      </c>
      <c r="B3" s="13">
        <v>15</v>
      </c>
      <c r="C3" s="13">
        <v>3</v>
      </c>
      <c r="D3" s="14">
        <v>6</v>
      </c>
    </row>
    <row r="4" spans="1:8" ht="15.75">
      <c r="A4" s="12" t="s">
        <v>20</v>
      </c>
      <c r="B4" s="13">
        <v>20</v>
      </c>
      <c r="C4" s="13">
        <v>6</v>
      </c>
      <c r="D4" s="14">
        <v>10</v>
      </c>
      <c r="E4" s="18"/>
      <c r="F4" s="18"/>
      <c r="H4" s="10"/>
    </row>
  </sheetData>
  <sortState ref="A2:D4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EB6F5-84BD-4023-807C-569AD058798F}">
  <sheetPr codeName="Sheet1"/>
  <dimension ref="A1:E31"/>
  <sheetViews>
    <sheetView topLeftCell="A22" zoomScale="175" zoomScaleNormal="175" workbookViewId="0">
      <selection activeCell="B32" sqref="B32"/>
    </sheetView>
  </sheetViews>
  <sheetFormatPr defaultColWidth="8.875" defaultRowHeight="14.25"/>
  <cols>
    <col min="1" max="1" width="12.875" customWidth="1"/>
    <col min="2" max="2" width="13.375" customWidth="1"/>
  </cols>
  <sheetData>
    <row r="1" spans="1:4" ht="15.75" thickTop="1" thickBot="1">
      <c r="A1" s="8" t="s">
        <v>66</v>
      </c>
      <c r="B1" s="8" t="s">
        <v>67</v>
      </c>
      <c r="C1" s="8" t="s">
        <v>11</v>
      </c>
    </row>
    <row r="2" spans="1:4" ht="15" thickTop="1">
      <c r="A2" s="20" t="s">
        <v>18</v>
      </c>
      <c r="B2" s="20" t="s">
        <v>49</v>
      </c>
      <c r="C2" s="19" t="s">
        <v>96</v>
      </c>
    </row>
    <row r="3" spans="1:4">
      <c r="A3" s="20" t="s">
        <v>18</v>
      </c>
      <c r="B3" s="20" t="s">
        <v>50</v>
      </c>
      <c r="C3" s="19" t="s">
        <v>96</v>
      </c>
    </row>
    <row r="4" spans="1:4">
      <c r="A4" s="20" t="s">
        <v>18</v>
      </c>
      <c r="B4" s="20" t="s">
        <v>51</v>
      </c>
      <c r="C4" s="19" t="s">
        <v>96</v>
      </c>
    </row>
    <row r="5" spans="1:4">
      <c r="A5" s="20" t="s">
        <v>18</v>
      </c>
      <c r="B5" s="20" t="s">
        <v>52</v>
      </c>
      <c r="C5" s="19" t="s">
        <v>96</v>
      </c>
      <c r="D5" s="18"/>
    </row>
    <row r="6" spans="1:4">
      <c r="A6" s="20" t="s">
        <v>18</v>
      </c>
      <c r="B6" s="20" t="s">
        <v>53</v>
      </c>
      <c r="C6" s="19" t="s">
        <v>10</v>
      </c>
    </row>
    <row r="7" spans="1:4">
      <c r="A7" s="20" t="s">
        <v>18</v>
      </c>
      <c r="B7" s="20" t="s">
        <v>54</v>
      </c>
      <c r="C7" s="20" t="s">
        <v>10</v>
      </c>
    </row>
    <row r="8" spans="1:4">
      <c r="A8" s="20" t="s">
        <v>18</v>
      </c>
      <c r="B8" s="20" t="s">
        <v>55</v>
      </c>
      <c r="C8" s="20" t="s">
        <v>10</v>
      </c>
    </row>
    <row r="9" spans="1:4">
      <c r="A9" s="20" t="s">
        <v>18</v>
      </c>
      <c r="B9" s="20" t="s">
        <v>56</v>
      </c>
      <c r="C9" s="19" t="s">
        <v>96</v>
      </c>
    </row>
    <row r="10" spans="1:4">
      <c r="A10" s="20" t="s">
        <v>18</v>
      </c>
      <c r="B10" s="20" t="s">
        <v>57</v>
      </c>
      <c r="C10" s="19" t="s">
        <v>10</v>
      </c>
    </row>
    <row r="11" spans="1:4">
      <c r="A11" s="20" t="s">
        <v>18</v>
      </c>
      <c r="B11" s="20" t="s">
        <v>58</v>
      </c>
      <c r="C11" s="20" t="s">
        <v>10</v>
      </c>
    </row>
    <row r="12" spans="1:4">
      <c r="A12" s="20" t="s">
        <v>19</v>
      </c>
      <c r="B12" s="20" t="s">
        <v>39</v>
      </c>
      <c r="C12" s="19" t="s">
        <v>10</v>
      </c>
    </row>
    <row r="13" spans="1:4">
      <c r="A13" s="20" t="s">
        <v>19</v>
      </c>
      <c r="B13" s="20" t="s">
        <v>34</v>
      </c>
      <c r="C13" s="19" t="s">
        <v>96</v>
      </c>
    </row>
    <row r="14" spans="1:4">
      <c r="A14" s="20" t="s">
        <v>19</v>
      </c>
      <c r="B14" s="20" t="s">
        <v>40</v>
      </c>
      <c r="C14" s="19" t="s">
        <v>96</v>
      </c>
    </row>
    <row r="15" spans="1:4">
      <c r="A15" s="20" t="s">
        <v>19</v>
      </c>
      <c r="B15" s="20" t="s">
        <v>32</v>
      </c>
      <c r="C15" s="34" t="s">
        <v>10</v>
      </c>
    </row>
    <row r="16" spans="1:4">
      <c r="A16" s="20" t="s">
        <v>19</v>
      </c>
      <c r="B16" s="20" t="s">
        <v>33</v>
      </c>
      <c r="C16" s="34" t="s">
        <v>10</v>
      </c>
    </row>
    <row r="17" spans="1:5">
      <c r="A17" s="20" t="s">
        <v>19</v>
      </c>
      <c r="B17" s="20" t="s">
        <v>31</v>
      </c>
      <c r="C17" s="19" t="s">
        <v>96</v>
      </c>
    </row>
    <row r="18" spans="1:5">
      <c r="A18" s="20" t="s">
        <v>19</v>
      </c>
      <c r="B18" s="20" t="s">
        <v>35</v>
      </c>
      <c r="C18" s="20" t="s">
        <v>10</v>
      </c>
    </row>
    <row r="19" spans="1:5">
      <c r="A19" s="20" t="s">
        <v>19</v>
      </c>
      <c r="B19" s="20" t="s">
        <v>36</v>
      </c>
      <c r="C19" s="19" t="s">
        <v>96</v>
      </c>
      <c r="D19" s="18"/>
      <c r="E19" s="18"/>
    </row>
    <row r="20" spans="1:5">
      <c r="A20" s="20" t="s">
        <v>19</v>
      </c>
      <c r="B20" s="20" t="s">
        <v>37</v>
      </c>
      <c r="C20" s="20" t="s">
        <v>10</v>
      </c>
    </row>
    <row r="21" spans="1:5">
      <c r="A21" s="20" t="s">
        <v>19</v>
      </c>
      <c r="B21" s="20" t="s">
        <v>38</v>
      </c>
      <c r="C21" s="19" t="s">
        <v>10</v>
      </c>
    </row>
    <row r="22" spans="1:5">
      <c r="A22" s="20" t="s">
        <v>20</v>
      </c>
      <c r="B22" s="20" t="s">
        <v>41</v>
      </c>
      <c r="C22" s="20" t="s">
        <v>10</v>
      </c>
    </row>
    <row r="23" spans="1:5">
      <c r="A23" s="20" t="s">
        <v>20</v>
      </c>
      <c r="B23" s="20" t="s">
        <v>42</v>
      </c>
      <c r="C23" s="20" t="s">
        <v>10</v>
      </c>
    </row>
    <row r="24" spans="1:5">
      <c r="A24" s="20" t="s">
        <v>20</v>
      </c>
      <c r="B24" s="20" t="s">
        <v>30</v>
      </c>
      <c r="C24" s="35" t="s">
        <v>10</v>
      </c>
    </row>
    <row r="25" spans="1:5">
      <c r="A25" s="20" t="s">
        <v>20</v>
      </c>
      <c r="B25" s="20" t="s">
        <v>43</v>
      </c>
      <c r="C25" s="20" t="s">
        <v>10</v>
      </c>
    </row>
    <row r="26" spans="1:5">
      <c r="A26" s="20" t="s">
        <v>20</v>
      </c>
      <c r="B26" s="20" t="s">
        <v>44</v>
      </c>
      <c r="C26" s="20" t="s">
        <v>10</v>
      </c>
    </row>
    <row r="27" spans="1:5">
      <c r="A27" s="20" t="s">
        <v>20</v>
      </c>
      <c r="B27" s="20" t="s">
        <v>45</v>
      </c>
      <c r="C27" s="20" t="s">
        <v>10</v>
      </c>
    </row>
    <row r="28" spans="1:5">
      <c r="A28" s="20" t="s">
        <v>20</v>
      </c>
      <c r="B28" s="20" t="s">
        <v>46</v>
      </c>
      <c r="C28" s="20" t="s">
        <v>10</v>
      </c>
    </row>
    <row r="29" spans="1:5">
      <c r="A29" s="20" t="s">
        <v>20</v>
      </c>
      <c r="B29" s="20" t="s">
        <v>47</v>
      </c>
      <c r="C29" s="20" t="s">
        <v>10</v>
      </c>
    </row>
    <row r="30" spans="1:5">
      <c r="A30" s="20" t="s">
        <v>20</v>
      </c>
      <c r="B30" s="20" t="s">
        <v>48</v>
      </c>
      <c r="C30" s="20" t="s">
        <v>10</v>
      </c>
    </row>
    <row r="31" spans="1:5">
      <c r="A31" s="20" t="s">
        <v>20</v>
      </c>
      <c r="B31" s="20" t="s">
        <v>89</v>
      </c>
      <c r="C31" s="20" t="s">
        <v>10</v>
      </c>
    </row>
  </sheetData>
  <sortState ref="A2:C31">
    <sortCondition ref="A2:A31"/>
    <sortCondition ref="B2:B31"/>
  </sortState>
  <conditionalFormatting sqref="C2:C31">
    <cfRule type="containsText" dxfId="34" priority="1" operator="containsText" text="In">
      <formula>NOT(ISERROR(SEARCH("In",C2)))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7306-FDDC-4A22-958D-0DC74EA9FC24}">
  <sheetPr codeName="Sheet5"/>
  <dimension ref="A1:I29"/>
  <sheetViews>
    <sheetView topLeftCell="A13" zoomScale="93" zoomScaleNormal="93" workbookViewId="0">
      <selection activeCell="D29" sqref="D29"/>
    </sheetView>
  </sheetViews>
  <sheetFormatPr defaultColWidth="8.875" defaultRowHeight="14.25"/>
  <cols>
    <col min="1" max="1" width="10.375" customWidth="1"/>
    <col min="2" max="2" width="11.375" customWidth="1"/>
    <col min="3" max="3" width="13.375" customWidth="1"/>
    <col min="4" max="4" width="12.5" customWidth="1"/>
    <col min="5" max="5" width="12.625" style="37" customWidth="1"/>
    <col min="6" max="6" width="22.5" style="23" customWidth="1"/>
    <col min="7" max="7" width="20.25" style="37" customWidth="1"/>
    <col min="8" max="8" width="14.875" style="43" customWidth="1"/>
    <col min="9" max="9" width="10.5" customWidth="1"/>
  </cols>
  <sheetData>
    <row r="1" spans="1:9" ht="30" customHeight="1" thickTop="1" thickBot="1">
      <c r="A1" s="8" t="s">
        <v>12</v>
      </c>
      <c r="B1" s="8" t="s">
        <v>6</v>
      </c>
      <c r="C1" s="8" t="s">
        <v>67</v>
      </c>
      <c r="D1" s="9" t="s">
        <v>69</v>
      </c>
      <c r="E1" s="36" t="s">
        <v>70</v>
      </c>
      <c r="F1" s="38" t="s">
        <v>71</v>
      </c>
      <c r="G1" s="36" t="s">
        <v>72</v>
      </c>
      <c r="H1" s="42" t="s">
        <v>68</v>
      </c>
      <c r="I1" s="9" t="s">
        <v>13</v>
      </c>
    </row>
    <row r="2" spans="1:9" ht="15" thickTop="1">
      <c r="A2" t="s">
        <v>14</v>
      </c>
      <c r="B2">
        <v>2</v>
      </c>
      <c r="C2" t="s">
        <v>50</v>
      </c>
      <c r="D2" s="23">
        <v>44035</v>
      </c>
      <c r="E2" s="37">
        <v>0.45833333333333331</v>
      </c>
      <c r="F2" s="23">
        <v>44039</v>
      </c>
      <c r="G2" s="37">
        <v>0.45833333333333331</v>
      </c>
      <c r="H2" s="43">
        <v>4</v>
      </c>
      <c r="I2" s="24">
        <v>93</v>
      </c>
    </row>
    <row r="3" spans="1:9">
      <c r="A3" t="s">
        <v>14</v>
      </c>
      <c r="B3">
        <v>2</v>
      </c>
      <c r="C3" t="s">
        <v>32</v>
      </c>
      <c r="D3" s="23">
        <v>44035</v>
      </c>
      <c r="E3" s="37">
        <v>0.45833333333333331</v>
      </c>
      <c r="F3" s="23">
        <v>44036</v>
      </c>
      <c r="G3" s="37">
        <v>0.33333333333333331</v>
      </c>
      <c r="H3" s="43">
        <v>1</v>
      </c>
      <c r="I3" s="24">
        <v>18</v>
      </c>
    </row>
    <row r="4" spans="1:9">
      <c r="A4" t="s">
        <v>14</v>
      </c>
      <c r="B4">
        <v>2</v>
      </c>
      <c r="C4" t="s">
        <v>33</v>
      </c>
      <c r="D4" s="23">
        <v>44035</v>
      </c>
      <c r="E4" s="37">
        <v>0.45833333333333331</v>
      </c>
      <c r="F4" s="23">
        <v>44036</v>
      </c>
      <c r="G4" s="37">
        <v>0.33333333333333331</v>
      </c>
      <c r="H4" s="43">
        <v>1</v>
      </c>
      <c r="I4" s="24">
        <v>18</v>
      </c>
    </row>
    <row r="5" spans="1:9">
      <c r="A5" t="s">
        <v>14</v>
      </c>
      <c r="B5">
        <v>2</v>
      </c>
      <c r="C5" t="s">
        <v>31</v>
      </c>
      <c r="D5" s="23">
        <v>44035</v>
      </c>
      <c r="E5" s="37">
        <v>0.45833333333333331</v>
      </c>
      <c r="F5" s="23">
        <v>44036</v>
      </c>
      <c r="G5" s="37">
        <v>0.33333333333333331</v>
      </c>
      <c r="H5" s="43">
        <v>1</v>
      </c>
      <c r="I5" s="24">
        <v>18</v>
      </c>
    </row>
    <row r="6" spans="1:9">
      <c r="A6" t="s">
        <v>14</v>
      </c>
      <c r="B6">
        <v>2</v>
      </c>
      <c r="C6" t="s">
        <v>30</v>
      </c>
      <c r="D6" s="23">
        <v>44035</v>
      </c>
      <c r="E6" s="37">
        <v>0.45833333333333331</v>
      </c>
      <c r="F6" s="23">
        <v>44035</v>
      </c>
      <c r="G6" s="37">
        <v>0.5</v>
      </c>
      <c r="H6" s="43">
        <v>1</v>
      </c>
      <c r="I6" s="24">
        <v>26</v>
      </c>
    </row>
    <row r="7" spans="1:9">
      <c r="A7" t="s">
        <v>15</v>
      </c>
      <c r="B7">
        <v>1</v>
      </c>
      <c r="C7" t="s">
        <v>55</v>
      </c>
      <c r="D7" s="23">
        <v>44044</v>
      </c>
      <c r="E7" s="37">
        <v>0.50347222222222221</v>
      </c>
      <c r="F7" s="23">
        <v>44048</v>
      </c>
      <c r="G7" s="37">
        <v>0.70833333333333337</v>
      </c>
      <c r="H7" s="43">
        <v>5</v>
      </c>
      <c r="I7" s="24">
        <v>115</v>
      </c>
    </row>
    <row r="8" spans="1:9">
      <c r="A8" t="s">
        <v>15</v>
      </c>
      <c r="B8">
        <v>1</v>
      </c>
      <c r="C8" t="s">
        <v>31</v>
      </c>
      <c r="D8" s="23">
        <v>44044</v>
      </c>
      <c r="E8" s="37">
        <v>0.50347222222222221</v>
      </c>
      <c r="F8" s="23">
        <v>44049</v>
      </c>
      <c r="G8" s="37">
        <v>0.41666666666666669</v>
      </c>
      <c r="H8" s="43">
        <v>5</v>
      </c>
      <c r="I8" s="24">
        <v>78</v>
      </c>
    </row>
    <row r="9" spans="1:9">
      <c r="A9" t="s">
        <v>15</v>
      </c>
      <c r="B9">
        <v>1</v>
      </c>
      <c r="C9" t="s">
        <v>35</v>
      </c>
      <c r="D9" s="23">
        <v>44044</v>
      </c>
      <c r="E9" s="37">
        <v>0.50347222222222221</v>
      </c>
      <c r="F9" s="23">
        <v>44049</v>
      </c>
      <c r="G9" s="37">
        <v>0.41666666666666669</v>
      </c>
      <c r="H9" s="43">
        <v>5</v>
      </c>
      <c r="I9" s="24">
        <v>78</v>
      </c>
    </row>
    <row r="10" spans="1:9">
      <c r="A10" t="s">
        <v>15</v>
      </c>
      <c r="B10">
        <v>1</v>
      </c>
      <c r="C10" t="s">
        <v>36</v>
      </c>
      <c r="D10" s="23">
        <v>44044</v>
      </c>
      <c r="E10" s="37">
        <v>0.50347222222222221</v>
      </c>
      <c r="F10" s="23">
        <v>44049</v>
      </c>
      <c r="G10" s="37">
        <v>0.41666666666666669</v>
      </c>
      <c r="H10" s="43">
        <v>5</v>
      </c>
      <c r="I10" s="24">
        <v>78</v>
      </c>
    </row>
    <row r="11" spans="1:9">
      <c r="A11" t="s">
        <v>15</v>
      </c>
      <c r="B11">
        <v>1</v>
      </c>
      <c r="C11" t="s">
        <v>37</v>
      </c>
      <c r="D11" s="23">
        <v>44044</v>
      </c>
      <c r="E11" s="37">
        <v>0.50347222222222221</v>
      </c>
      <c r="F11" s="23">
        <v>44049</v>
      </c>
      <c r="G11" s="37">
        <v>0.41666666666666669</v>
      </c>
      <c r="H11" s="43">
        <v>5</v>
      </c>
      <c r="I11" s="24">
        <v>78</v>
      </c>
    </row>
    <row r="12" spans="1:9">
      <c r="A12" t="s">
        <v>16</v>
      </c>
      <c r="B12">
        <v>5</v>
      </c>
      <c r="C12" t="s">
        <v>55</v>
      </c>
      <c r="D12" s="23">
        <v>44058</v>
      </c>
      <c r="E12" s="37">
        <v>0.70833333333333337</v>
      </c>
      <c r="F12" s="23">
        <v>44063</v>
      </c>
      <c r="G12" s="37">
        <v>0.45833333333333331</v>
      </c>
      <c r="H12" s="43">
        <v>5</v>
      </c>
      <c r="I12" s="24">
        <v>115</v>
      </c>
    </row>
    <row r="13" spans="1:9">
      <c r="A13" t="s">
        <v>16</v>
      </c>
      <c r="B13">
        <v>5</v>
      </c>
      <c r="C13" t="s">
        <v>30</v>
      </c>
      <c r="D13" s="23">
        <v>44058</v>
      </c>
      <c r="E13" s="37">
        <v>0.70833333333333337</v>
      </c>
      <c r="F13" s="45">
        <v>44066.5</v>
      </c>
      <c r="G13" s="46">
        <v>0.5</v>
      </c>
      <c r="H13" s="44">
        <v>8</v>
      </c>
      <c r="I13" s="41">
        <v>166</v>
      </c>
    </row>
    <row r="14" spans="1:9">
      <c r="A14" t="s">
        <v>16</v>
      </c>
      <c r="B14">
        <v>5</v>
      </c>
      <c r="C14" t="s">
        <v>43</v>
      </c>
      <c r="D14" s="23">
        <v>44058</v>
      </c>
      <c r="E14" s="37">
        <v>0.70833333333333337</v>
      </c>
      <c r="F14" s="23">
        <v>44063</v>
      </c>
      <c r="G14" s="37">
        <v>0.45833333333333331</v>
      </c>
      <c r="H14" s="43">
        <v>5</v>
      </c>
      <c r="I14" s="24">
        <v>106</v>
      </c>
    </row>
    <row r="15" spans="1:9">
      <c r="A15" t="s">
        <v>16</v>
      </c>
      <c r="B15">
        <v>5</v>
      </c>
      <c r="C15" t="s">
        <v>44</v>
      </c>
      <c r="D15" s="23">
        <v>44058</v>
      </c>
      <c r="E15" s="37">
        <v>0.70833333333333337</v>
      </c>
      <c r="F15" s="23">
        <v>44063</v>
      </c>
      <c r="G15" s="37">
        <v>0.45833333333333331</v>
      </c>
      <c r="H15" s="43">
        <v>5</v>
      </c>
      <c r="I15" s="24">
        <v>106</v>
      </c>
    </row>
    <row r="16" spans="1:9">
      <c r="A16" t="s">
        <v>16</v>
      </c>
      <c r="B16">
        <v>5</v>
      </c>
      <c r="C16" t="s">
        <v>45</v>
      </c>
      <c r="D16" s="23">
        <v>44058</v>
      </c>
      <c r="E16" s="37">
        <v>0.70833333333333337</v>
      </c>
      <c r="F16" s="23">
        <v>44063</v>
      </c>
      <c r="G16" s="37">
        <v>0.45833333333333331</v>
      </c>
      <c r="H16" s="43">
        <v>5</v>
      </c>
      <c r="I16" s="24">
        <v>106</v>
      </c>
    </row>
    <row r="17" spans="1:9">
      <c r="A17" t="s">
        <v>17</v>
      </c>
      <c r="B17">
        <v>2</v>
      </c>
      <c r="C17" t="s">
        <v>52</v>
      </c>
      <c r="D17" s="23">
        <v>44060</v>
      </c>
      <c r="E17" s="37">
        <v>0.33333333333333331</v>
      </c>
      <c r="F17" s="23">
        <v>44065</v>
      </c>
      <c r="G17" s="37">
        <v>0.625</v>
      </c>
      <c r="H17" s="43">
        <v>6</v>
      </c>
      <c r="I17" s="24">
        <v>137</v>
      </c>
    </row>
    <row r="18" spans="1:9">
      <c r="A18" t="s">
        <v>17</v>
      </c>
      <c r="B18">
        <v>2</v>
      </c>
      <c r="C18" t="s">
        <v>53</v>
      </c>
      <c r="D18" s="23">
        <v>44060</v>
      </c>
      <c r="E18" s="37">
        <v>0.33333333333333331</v>
      </c>
      <c r="F18" s="23">
        <v>44065</v>
      </c>
      <c r="G18" s="37">
        <v>0.625</v>
      </c>
      <c r="H18" s="43">
        <v>6</v>
      </c>
      <c r="I18" s="24">
        <v>137</v>
      </c>
    </row>
    <row r="19" spans="1:9">
      <c r="A19" t="s">
        <v>17</v>
      </c>
      <c r="B19">
        <v>2</v>
      </c>
      <c r="C19" t="s">
        <v>54</v>
      </c>
      <c r="D19" s="23">
        <v>44060</v>
      </c>
      <c r="E19" s="37">
        <v>0.33333333333333331</v>
      </c>
      <c r="F19" s="23">
        <v>44065</v>
      </c>
      <c r="G19" s="37">
        <v>0.625</v>
      </c>
      <c r="H19" s="43">
        <v>6</v>
      </c>
      <c r="I19" s="24">
        <v>137</v>
      </c>
    </row>
    <row r="20" spans="1:9">
      <c r="A20" t="s">
        <v>17</v>
      </c>
      <c r="B20">
        <v>2</v>
      </c>
      <c r="C20" t="s">
        <v>56</v>
      </c>
      <c r="D20" s="23">
        <v>44060</v>
      </c>
      <c r="E20" s="37">
        <v>0.33333333333333331</v>
      </c>
      <c r="F20" s="23">
        <v>44065</v>
      </c>
      <c r="G20" s="37">
        <v>0.625</v>
      </c>
      <c r="H20" s="43">
        <v>6</v>
      </c>
      <c r="I20" s="24">
        <v>137</v>
      </c>
    </row>
    <row r="21" spans="1:9">
      <c r="A21" t="s">
        <v>17</v>
      </c>
      <c r="B21">
        <v>2</v>
      </c>
      <c r="C21" t="s">
        <v>32</v>
      </c>
      <c r="D21" s="23">
        <v>44060</v>
      </c>
      <c r="E21" s="37">
        <v>0.33333333333333331</v>
      </c>
      <c r="F21" s="45">
        <v>44067.833333333336</v>
      </c>
      <c r="G21" s="46">
        <v>0.83333333333333337</v>
      </c>
      <c r="H21" s="44">
        <v>9</v>
      </c>
      <c r="I21" s="41">
        <v>138</v>
      </c>
    </row>
    <row r="22" spans="1:9" ht="13.5" customHeight="1">
      <c r="A22" t="s">
        <v>17</v>
      </c>
      <c r="B22">
        <v>2</v>
      </c>
      <c r="C22" t="s">
        <v>33</v>
      </c>
      <c r="D22" s="23">
        <v>44060</v>
      </c>
      <c r="E22" s="37">
        <v>0.33333333333333331</v>
      </c>
      <c r="F22" s="39" t="s">
        <v>95</v>
      </c>
      <c r="G22" s="40">
        <v>0.91666666666666663</v>
      </c>
      <c r="H22" s="44">
        <v>3</v>
      </c>
      <c r="I22" s="41">
        <v>48</v>
      </c>
    </row>
    <row r="23" spans="1:9">
      <c r="A23" t="s">
        <v>97</v>
      </c>
      <c r="B23" s="48">
        <v>5</v>
      </c>
      <c r="C23" t="s">
        <v>51</v>
      </c>
      <c r="D23" s="23">
        <v>44131</v>
      </c>
      <c r="E23" s="37">
        <v>0.95833333333333337</v>
      </c>
      <c r="F23" s="49"/>
      <c r="G23" s="49"/>
      <c r="H23" s="49"/>
      <c r="I23" s="49"/>
    </row>
    <row r="24" spans="1:9">
      <c r="A24" t="s">
        <v>98</v>
      </c>
      <c r="B24" s="48">
        <v>8</v>
      </c>
      <c r="C24" t="s">
        <v>51</v>
      </c>
      <c r="D24" s="23">
        <v>44131</v>
      </c>
      <c r="E24" s="37">
        <v>0.52083333333333337</v>
      </c>
      <c r="F24" s="50"/>
      <c r="G24" s="51"/>
      <c r="H24" s="52"/>
      <c r="I24" s="53"/>
    </row>
    <row r="25" spans="1:9">
      <c r="A25" t="s">
        <v>98</v>
      </c>
      <c r="B25" s="48">
        <v>8</v>
      </c>
      <c r="C25" t="s">
        <v>40</v>
      </c>
      <c r="D25" s="23">
        <v>44131</v>
      </c>
      <c r="E25" s="37">
        <v>0.52083333333333337</v>
      </c>
      <c r="F25" s="50"/>
      <c r="G25" s="51"/>
      <c r="H25" s="52"/>
      <c r="I25" s="53"/>
    </row>
    <row r="26" spans="1:9">
      <c r="A26" t="s">
        <v>98</v>
      </c>
      <c r="B26" s="48">
        <v>8</v>
      </c>
      <c r="C26" t="s">
        <v>52</v>
      </c>
      <c r="D26" s="23">
        <v>44131</v>
      </c>
      <c r="E26" s="37">
        <v>0.52083333333333337</v>
      </c>
      <c r="F26" s="50"/>
      <c r="G26" s="51"/>
      <c r="H26" s="52"/>
      <c r="I26" s="53"/>
    </row>
    <row r="27" spans="1:9">
      <c r="A27" t="s">
        <v>98</v>
      </c>
      <c r="B27" s="48">
        <v>8</v>
      </c>
      <c r="C27" t="s">
        <v>31</v>
      </c>
      <c r="D27" s="23">
        <v>44131</v>
      </c>
      <c r="E27" s="37">
        <v>0.52083333333333337</v>
      </c>
      <c r="F27" s="50"/>
      <c r="G27" s="51"/>
      <c r="H27" s="52"/>
      <c r="I27" s="53"/>
    </row>
    <row r="28" spans="1:9">
      <c r="A28" t="s">
        <v>98</v>
      </c>
      <c r="B28" s="48">
        <v>8</v>
      </c>
      <c r="C28" t="s">
        <v>36</v>
      </c>
      <c r="D28" s="23">
        <v>44131</v>
      </c>
      <c r="E28" s="37">
        <v>0.52083333333333337</v>
      </c>
      <c r="F28" s="50"/>
      <c r="G28" s="51"/>
      <c r="H28" s="52"/>
      <c r="I28" s="53"/>
    </row>
    <row r="29" spans="1:9">
      <c r="A29" t="s">
        <v>98</v>
      </c>
      <c r="B29" s="48">
        <v>8</v>
      </c>
      <c r="C29" t="s">
        <v>56</v>
      </c>
      <c r="D29" s="23">
        <v>44131</v>
      </c>
      <c r="E29" s="37">
        <v>0.52083333333333337</v>
      </c>
      <c r="F29" s="50"/>
      <c r="G29" s="51"/>
      <c r="H29" s="52"/>
      <c r="I29" s="53"/>
    </row>
  </sheetData>
  <phoneticPr fontId="6" type="noConversion"/>
  <conditionalFormatting sqref="A2:I22">
    <cfRule type="cellIs" dxfId="33" priority="1" operator="equal">
      <formula>" "</formula>
    </cfRule>
    <cfRule type="cellIs" dxfId="32" priority="2" operator="equal">
      <formula>""""""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5F2B8-879C-48A1-B4CC-65E6C69EE530}">
  <sheetPr codeName="Sheet2"/>
  <dimension ref="C3:E4"/>
  <sheetViews>
    <sheetView workbookViewId="0">
      <selection activeCell="F21" sqref="F21"/>
    </sheetView>
  </sheetViews>
  <sheetFormatPr defaultColWidth="8.875" defaultRowHeight="14.25"/>
  <cols>
    <col min="1" max="16384" width="8.875" style="15"/>
  </cols>
  <sheetData>
    <row r="3" spans="3:5" ht="44.25">
      <c r="C3" s="17" t="s">
        <v>73</v>
      </c>
    </row>
    <row r="4" spans="3:5">
      <c r="E4" s="1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" r:id="rId4" name="cmbShowMenu">
          <controlPr defaultSize="0" autoLine="0" autoPict="0" r:id="rId5">
            <anchor moveWithCells="1">
              <from>
                <xdr:col>5</xdr:col>
                <xdr:colOff>257175</xdr:colOff>
                <xdr:row>6</xdr:row>
                <xdr:rowOff>104775</xdr:rowOff>
              </from>
              <to>
                <xdr:col>9</xdr:col>
                <xdr:colOff>466725</xdr:colOff>
                <xdr:row>11</xdr:row>
                <xdr:rowOff>85725</xdr:rowOff>
              </to>
            </anchor>
          </controlPr>
        </control>
      </mc:Choice>
      <mc:Fallback>
        <control shapeId="1025" r:id="rId4" name="cmbShow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2B112-5974-4CC8-A7B5-8BDA4D80EC87}">
  <sheetPr codeName="Sheet6"/>
  <dimension ref="A1:I9"/>
  <sheetViews>
    <sheetView workbookViewId="0">
      <selection activeCell="A4" sqref="A4:I4"/>
    </sheetView>
  </sheetViews>
  <sheetFormatPr defaultRowHeight="14.25"/>
  <cols>
    <col min="1" max="1" width="14.375" customWidth="1"/>
    <col min="2" max="2" width="20.75" customWidth="1"/>
    <col min="3" max="3" width="19.125" customWidth="1"/>
    <col min="4" max="4" width="22.25" customWidth="1"/>
    <col min="5" max="5" width="20.125" style="32" customWidth="1"/>
    <col min="6" max="6" width="13.875" customWidth="1"/>
    <col min="7" max="7" width="15.5" style="32" customWidth="1"/>
  </cols>
  <sheetData>
    <row r="1" spans="1:9" ht="18.75">
      <c r="A1" s="54" t="s">
        <v>81</v>
      </c>
      <c r="B1" s="54"/>
      <c r="C1" s="54"/>
      <c r="D1" s="54"/>
      <c r="E1" s="26">
        <v>44044</v>
      </c>
      <c r="F1" s="27" t="s">
        <v>82</v>
      </c>
      <c r="G1" s="25">
        <v>44074</v>
      </c>
      <c r="I1" s="28"/>
    </row>
    <row r="2" spans="1:9" ht="15" thickBot="1">
      <c r="A2" s="55" t="s">
        <v>83</v>
      </c>
      <c r="B2" s="56"/>
      <c r="C2" s="57"/>
      <c r="D2" s="29">
        <v>44129.704085648147</v>
      </c>
    </row>
    <row r="3" spans="1:9" ht="30" thickTop="1" thickBot="1">
      <c r="A3" s="8" t="s">
        <v>5</v>
      </c>
      <c r="B3" s="8" t="s">
        <v>85</v>
      </c>
      <c r="C3" s="8" t="s">
        <v>86</v>
      </c>
      <c r="D3" s="8" t="s">
        <v>87</v>
      </c>
      <c r="E3" s="33" t="s">
        <v>84</v>
      </c>
    </row>
    <row r="4" spans="1:9" ht="15.75" thickTop="1" thickBot="1">
      <c r="A4" s="8" t="s">
        <v>12</v>
      </c>
      <c r="B4" s="8" t="s">
        <v>6</v>
      </c>
      <c r="C4" s="8" t="s">
        <v>67</v>
      </c>
      <c r="D4" s="8" t="s">
        <v>69</v>
      </c>
      <c r="E4" s="33" t="s">
        <v>70</v>
      </c>
      <c r="F4" s="8" t="s">
        <v>71</v>
      </c>
      <c r="G4" s="33" t="s">
        <v>72</v>
      </c>
      <c r="H4" s="8" t="s">
        <v>68</v>
      </c>
      <c r="I4" s="8" t="s">
        <v>13</v>
      </c>
    </row>
    <row r="5" spans="1:9" ht="15" thickTop="1">
      <c r="A5" s="23" t="s">
        <v>88</v>
      </c>
      <c r="B5" t="s">
        <v>88</v>
      </c>
      <c r="C5" t="s">
        <v>88</v>
      </c>
      <c r="D5" t="s">
        <v>88</v>
      </c>
      <c r="E5" s="32" t="s">
        <v>88</v>
      </c>
      <c r="F5" t="s">
        <v>88</v>
      </c>
      <c r="G5" s="32" t="s">
        <v>88</v>
      </c>
      <c r="H5" t="s">
        <v>88</v>
      </c>
      <c r="I5" t="s">
        <v>88</v>
      </c>
    </row>
    <row r="6" spans="1:9">
      <c r="A6" s="23">
        <v>44058</v>
      </c>
      <c r="B6">
        <v>0.70833333333333337</v>
      </c>
      <c r="C6" s="23">
        <v>44063</v>
      </c>
      <c r="D6">
        <v>0.45833333333333331</v>
      </c>
      <c r="E6" s="32">
        <v>5</v>
      </c>
      <c r="F6" s="31">
        <v>106</v>
      </c>
    </row>
    <row r="7" spans="1:9">
      <c r="A7" s="23">
        <v>44060</v>
      </c>
      <c r="B7">
        <v>0.33333333333333331</v>
      </c>
      <c r="C7" s="23">
        <v>44065</v>
      </c>
      <c r="D7">
        <v>0.625</v>
      </c>
      <c r="E7" s="32">
        <v>6</v>
      </c>
      <c r="F7" s="31">
        <v>137</v>
      </c>
    </row>
    <row r="8" spans="1:9">
      <c r="A8" s="23">
        <v>44060</v>
      </c>
      <c r="B8">
        <v>0.33333333333333331</v>
      </c>
      <c r="C8" s="23">
        <v>44065</v>
      </c>
      <c r="D8">
        <v>0.625</v>
      </c>
      <c r="E8" s="32">
        <v>6</v>
      </c>
      <c r="F8" s="31">
        <v>137</v>
      </c>
    </row>
    <row r="9" spans="1:9">
      <c r="A9" s="23">
        <v>44060</v>
      </c>
      <c r="B9">
        <v>0.33333333333333331</v>
      </c>
    </row>
  </sheetData>
  <mergeCells count="2">
    <mergeCell ref="A1:D1"/>
    <mergeCell ref="A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FFD3A-C9FC-43A4-91D1-CD88F3AF14F2}">
  <sheetPr codeName="Sheet7"/>
  <dimension ref="A1:I38"/>
  <sheetViews>
    <sheetView tabSelected="1" zoomScale="84" zoomScaleNormal="84" workbookViewId="0">
      <selection activeCell="B19" sqref="B19:I19"/>
    </sheetView>
  </sheetViews>
  <sheetFormatPr defaultRowHeight="15" customHeight="1" outlineLevelRow="2"/>
  <cols>
    <col min="2" max="2" width="32" customWidth="1"/>
    <col min="4" max="5" width="25.875" customWidth="1"/>
    <col min="6" max="6" width="16.375" customWidth="1"/>
    <col min="7" max="7" width="17.625" customWidth="1"/>
    <col min="9" max="10" width="17.125" customWidth="1"/>
  </cols>
  <sheetData>
    <row r="1" spans="1:9" ht="18.75">
      <c r="A1" s="54" t="s">
        <v>81</v>
      </c>
      <c r="B1" s="54"/>
      <c r="C1" s="54"/>
      <c r="D1" s="54"/>
      <c r="E1" s="26">
        <v>44044</v>
      </c>
      <c r="F1" s="47" t="s">
        <v>82</v>
      </c>
      <c r="G1" s="26">
        <v>44228</v>
      </c>
      <c r="H1" s="30"/>
      <c r="I1" s="25"/>
    </row>
    <row r="2" spans="1:9" thickBot="1">
      <c r="A2" s="55" t="s">
        <v>83</v>
      </c>
      <c r="B2" s="56"/>
      <c r="C2" s="57"/>
      <c r="D2" s="29">
        <v>44132.010300925926</v>
      </c>
      <c r="E2" s="32"/>
      <c r="G2" s="32"/>
    </row>
    <row r="3" spans="1:9" ht="30.75" customHeight="1" thickTop="1" thickBot="1">
      <c r="A3" s="8" t="s">
        <v>12</v>
      </c>
      <c r="B3" s="8" t="s">
        <v>99</v>
      </c>
      <c r="C3" s="8" t="s">
        <v>67</v>
      </c>
      <c r="D3" s="8" t="s">
        <v>69</v>
      </c>
      <c r="E3" s="33" t="s">
        <v>70</v>
      </c>
      <c r="F3" s="8" t="s">
        <v>71</v>
      </c>
      <c r="G3" s="33" t="s">
        <v>72</v>
      </c>
      <c r="H3" s="8" t="s">
        <v>68</v>
      </c>
      <c r="I3" s="8" t="s">
        <v>13</v>
      </c>
    </row>
    <row r="4" spans="1:9" ht="15" customHeight="1" outlineLevel="2" thickTop="1">
      <c r="A4" t="s">
        <v>15</v>
      </c>
      <c r="B4" t="s">
        <v>21</v>
      </c>
      <c r="C4" t="s">
        <v>55</v>
      </c>
      <c r="D4" s="23">
        <v>44044</v>
      </c>
      <c r="E4" s="37">
        <v>0.50347222222222221</v>
      </c>
      <c r="F4" s="23">
        <v>44048</v>
      </c>
      <c r="G4" s="37">
        <v>0.70833333333333337</v>
      </c>
      <c r="H4" s="43">
        <v>5</v>
      </c>
      <c r="I4" s="24">
        <v>115</v>
      </c>
    </row>
    <row r="5" spans="1:9" ht="15" customHeight="1" outlineLevel="2">
      <c r="A5" t="s">
        <v>15</v>
      </c>
      <c r="B5" t="s">
        <v>21</v>
      </c>
      <c r="C5" t="s">
        <v>31</v>
      </c>
      <c r="D5" s="23">
        <v>44044</v>
      </c>
      <c r="E5" s="37">
        <v>0.50347222222222221</v>
      </c>
      <c r="F5" s="23">
        <v>44049</v>
      </c>
      <c r="G5" s="37">
        <v>0.41666666666666669</v>
      </c>
      <c r="H5" s="43">
        <v>5</v>
      </c>
      <c r="I5" s="24">
        <v>78</v>
      </c>
    </row>
    <row r="6" spans="1:9" ht="15" customHeight="1" outlineLevel="2">
      <c r="A6" t="s">
        <v>15</v>
      </c>
      <c r="B6" t="s">
        <v>21</v>
      </c>
      <c r="C6" t="s">
        <v>35</v>
      </c>
      <c r="D6" s="23">
        <v>44044</v>
      </c>
      <c r="E6" s="37">
        <v>0.50347222222222221</v>
      </c>
      <c r="F6" s="23">
        <v>44049</v>
      </c>
      <c r="G6" s="37">
        <v>0.41666666666666669</v>
      </c>
      <c r="H6" s="43">
        <v>5</v>
      </c>
      <c r="I6" s="24">
        <v>78</v>
      </c>
    </row>
    <row r="7" spans="1:9" ht="15" customHeight="1" outlineLevel="2">
      <c r="A7" t="s">
        <v>15</v>
      </c>
      <c r="B7" t="s">
        <v>21</v>
      </c>
      <c r="C7" t="s">
        <v>36</v>
      </c>
      <c r="D7" s="23">
        <v>44044</v>
      </c>
      <c r="E7" s="37">
        <v>0.50347222222222221</v>
      </c>
      <c r="F7" s="23">
        <v>44049</v>
      </c>
      <c r="G7" s="37">
        <v>0.41666666666666669</v>
      </c>
      <c r="H7" s="43">
        <v>5</v>
      </c>
      <c r="I7" s="24">
        <v>78</v>
      </c>
    </row>
    <row r="8" spans="1:9" ht="15" customHeight="1" outlineLevel="2">
      <c r="A8" t="s">
        <v>15</v>
      </c>
      <c r="B8" t="s">
        <v>21</v>
      </c>
      <c r="C8" t="s">
        <v>37</v>
      </c>
      <c r="D8" s="23">
        <v>44044</v>
      </c>
      <c r="E8" s="37">
        <v>0.50347222222222221</v>
      </c>
      <c r="F8" s="23">
        <v>44049</v>
      </c>
      <c r="G8" s="37">
        <v>0.41666666666666669</v>
      </c>
      <c r="H8" s="43">
        <v>5</v>
      </c>
      <c r="I8" s="24">
        <v>78</v>
      </c>
    </row>
    <row r="9" spans="1:9" ht="15" customHeight="1" outlineLevel="1">
      <c r="B9" s="59" t="s">
        <v>100</v>
      </c>
      <c r="D9" s="58">
        <f>SUBTOTAL(3,D4:D8)</f>
        <v>5</v>
      </c>
      <c r="E9" s="37"/>
      <c r="F9" s="58">
        <f>SUBTOTAL(3,F4:F8)</f>
        <v>5</v>
      </c>
      <c r="G9" s="37"/>
      <c r="H9" s="43"/>
      <c r="I9" s="24"/>
    </row>
    <row r="10" spans="1:9" ht="15" customHeight="1" outlineLevel="2">
      <c r="B10" t="s">
        <v>106</v>
      </c>
      <c r="D10" s="23"/>
      <c r="E10" s="37"/>
      <c r="F10" s="23"/>
      <c r="G10" s="37"/>
      <c r="H10" s="43"/>
      <c r="I10" s="24">
        <v>349</v>
      </c>
    </row>
    <row r="11" spans="1:9" ht="15" customHeight="1" outlineLevel="1">
      <c r="B11" s="59" t="s">
        <v>109</v>
      </c>
      <c r="D11" s="58">
        <f>SUBTOTAL(3,D10:D10)</f>
        <v>0</v>
      </c>
      <c r="E11" s="37"/>
      <c r="F11" s="58">
        <f>SUBTOTAL(3,F10:F10)</f>
        <v>0</v>
      </c>
      <c r="G11" s="37"/>
      <c r="H11" s="43"/>
      <c r="I11" s="24"/>
    </row>
    <row r="12" spans="1:9" ht="15" customHeight="1" outlineLevel="2">
      <c r="A12" t="s">
        <v>17</v>
      </c>
      <c r="B12" t="s">
        <v>25</v>
      </c>
      <c r="C12" t="s">
        <v>52</v>
      </c>
      <c r="D12" s="23">
        <v>44060</v>
      </c>
      <c r="E12" s="37">
        <v>0.33333333333333331</v>
      </c>
      <c r="F12" s="23">
        <v>44065</v>
      </c>
      <c r="G12" s="37">
        <v>0.625</v>
      </c>
      <c r="H12" s="43">
        <v>6</v>
      </c>
      <c r="I12" s="24">
        <v>137</v>
      </c>
    </row>
    <row r="13" spans="1:9" ht="15" customHeight="1" outlineLevel="2">
      <c r="A13" t="s">
        <v>17</v>
      </c>
      <c r="B13" t="s">
        <v>25</v>
      </c>
      <c r="C13" t="s">
        <v>53</v>
      </c>
      <c r="D13" s="23">
        <v>44060</v>
      </c>
      <c r="E13" s="37">
        <v>0.33333333333333331</v>
      </c>
      <c r="F13" s="23">
        <v>44065</v>
      </c>
      <c r="G13" s="37">
        <v>0.625</v>
      </c>
      <c r="H13" s="43">
        <v>6</v>
      </c>
      <c r="I13" s="24">
        <v>137</v>
      </c>
    </row>
    <row r="14" spans="1:9" ht="15" customHeight="1" outlineLevel="2">
      <c r="A14" t="s">
        <v>17</v>
      </c>
      <c r="B14" t="s">
        <v>25</v>
      </c>
      <c r="C14" t="s">
        <v>54</v>
      </c>
      <c r="D14" s="23">
        <v>44060</v>
      </c>
      <c r="E14" s="37">
        <v>0.33333333333333331</v>
      </c>
      <c r="F14" s="23">
        <v>44065</v>
      </c>
      <c r="G14" s="37">
        <v>0.625</v>
      </c>
      <c r="H14" s="43">
        <v>6</v>
      </c>
      <c r="I14" s="24">
        <v>137</v>
      </c>
    </row>
    <row r="15" spans="1:9" ht="15" customHeight="1" outlineLevel="2">
      <c r="A15" t="s">
        <v>17</v>
      </c>
      <c r="B15" t="s">
        <v>25</v>
      </c>
      <c r="C15" t="s">
        <v>56</v>
      </c>
      <c r="D15" s="23">
        <v>44060</v>
      </c>
      <c r="E15" s="37">
        <v>0.33333333333333331</v>
      </c>
      <c r="F15" s="23">
        <v>44065</v>
      </c>
      <c r="G15" s="37">
        <v>0.625</v>
      </c>
      <c r="H15" s="43">
        <v>6</v>
      </c>
      <c r="I15" s="24">
        <v>137</v>
      </c>
    </row>
    <row r="16" spans="1:9" ht="15" customHeight="1" outlineLevel="2">
      <c r="A16" t="s">
        <v>17</v>
      </c>
      <c r="B16" t="s">
        <v>25</v>
      </c>
      <c r="C16" t="s">
        <v>32</v>
      </c>
      <c r="D16" s="23">
        <v>44060</v>
      </c>
      <c r="E16" s="37">
        <v>0.33333333333333331</v>
      </c>
      <c r="F16" s="45">
        <v>44067.833333333336</v>
      </c>
      <c r="G16" s="46">
        <v>0.83333333333333337</v>
      </c>
      <c r="H16" s="44">
        <v>9</v>
      </c>
      <c r="I16" s="41">
        <v>138</v>
      </c>
    </row>
    <row r="17" spans="1:9" ht="15" customHeight="1" outlineLevel="2">
      <c r="A17" t="s">
        <v>17</v>
      </c>
      <c r="B17" t="s">
        <v>25</v>
      </c>
      <c r="C17" t="s">
        <v>33</v>
      </c>
      <c r="D17" s="23">
        <v>44060</v>
      </c>
      <c r="E17" s="37">
        <v>0.33333333333333331</v>
      </c>
      <c r="F17" s="39" t="s">
        <v>95</v>
      </c>
      <c r="G17" s="40">
        <v>0.91666666666666663</v>
      </c>
      <c r="H17" s="44">
        <v>3</v>
      </c>
      <c r="I17" s="41">
        <v>48</v>
      </c>
    </row>
    <row r="18" spans="1:9" ht="15" customHeight="1" outlineLevel="1">
      <c r="B18" s="59" t="s">
        <v>101</v>
      </c>
      <c r="D18" s="58">
        <f>SUBTOTAL(3,D12:D17)</f>
        <v>6</v>
      </c>
      <c r="E18" s="37"/>
      <c r="F18" s="60">
        <f>SUBTOTAL(3,F12:F17)</f>
        <v>6</v>
      </c>
      <c r="G18" s="40"/>
      <c r="H18" s="44"/>
      <c r="I18" s="41"/>
    </row>
    <row r="19" spans="1:9" ht="15" customHeight="1" outlineLevel="2">
      <c r="B19" t="s">
        <v>107</v>
      </c>
      <c r="D19" s="23"/>
      <c r="E19" s="37"/>
      <c r="F19" s="39"/>
      <c r="G19" s="40"/>
      <c r="H19" s="44"/>
      <c r="I19" s="41">
        <v>686</v>
      </c>
    </row>
    <row r="20" spans="1:9" ht="15" customHeight="1" outlineLevel="1">
      <c r="B20" s="59" t="s">
        <v>110</v>
      </c>
      <c r="D20" s="58">
        <f>SUBTOTAL(3,D19:D19)</f>
        <v>0</v>
      </c>
      <c r="E20" s="37"/>
      <c r="F20" s="60">
        <f>SUBTOTAL(3,F19:F19)</f>
        <v>0</v>
      </c>
      <c r="G20" s="40"/>
      <c r="H20" s="44"/>
      <c r="I20" s="41"/>
    </row>
    <row r="21" spans="1:9" ht="15" customHeight="1" outlineLevel="2">
      <c r="A21" t="s">
        <v>16</v>
      </c>
      <c r="B21" t="s">
        <v>74</v>
      </c>
      <c r="C21" t="s">
        <v>55</v>
      </c>
      <c r="D21" s="23">
        <v>44058</v>
      </c>
      <c r="E21" s="37">
        <v>0.70833333333333337</v>
      </c>
      <c r="F21" s="23">
        <v>44063</v>
      </c>
      <c r="G21" s="37">
        <v>0.45833333333333331</v>
      </c>
      <c r="H21" s="43">
        <v>5</v>
      </c>
      <c r="I21" s="24">
        <v>115</v>
      </c>
    </row>
    <row r="22" spans="1:9" ht="15" customHeight="1" outlineLevel="2">
      <c r="A22" t="s">
        <v>16</v>
      </c>
      <c r="B22" t="s">
        <v>74</v>
      </c>
      <c r="C22" t="s">
        <v>30</v>
      </c>
      <c r="D22" s="23">
        <v>44058</v>
      </c>
      <c r="E22" s="37">
        <v>0.70833333333333337</v>
      </c>
      <c r="F22" s="45">
        <v>44066.5</v>
      </c>
      <c r="G22" s="46">
        <v>0.5</v>
      </c>
      <c r="H22" s="44">
        <v>8</v>
      </c>
      <c r="I22" s="41">
        <v>166</v>
      </c>
    </row>
    <row r="23" spans="1:9" ht="15" customHeight="1" outlineLevel="2">
      <c r="A23" t="s">
        <v>16</v>
      </c>
      <c r="B23" t="s">
        <v>74</v>
      </c>
      <c r="C23" t="s">
        <v>43</v>
      </c>
      <c r="D23" s="23">
        <v>44058</v>
      </c>
      <c r="E23" s="37">
        <v>0.70833333333333337</v>
      </c>
      <c r="F23" s="23">
        <v>44063</v>
      </c>
      <c r="G23" s="37">
        <v>0.45833333333333331</v>
      </c>
      <c r="H23" s="43">
        <v>5</v>
      </c>
      <c r="I23" s="24">
        <v>106</v>
      </c>
    </row>
    <row r="24" spans="1:9" ht="15" customHeight="1" outlineLevel="2">
      <c r="A24" t="s">
        <v>16</v>
      </c>
      <c r="B24" t="s">
        <v>74</v>
      </c>
      <c r="C24" t="s">
        <v>44</v>
      </c>
      <c r="D24" s="23">
        <v>44058</v>
      </c>
      <c r="E24" s="37">
        <v>0.70833333333333337</v>
      </c>
      <c r="F24" s="23">
        <v>44063</v>
      </c>
      <c r="G24" s="37">
        <v>0.45833333333333331</v>
      </c>
      <c r="H24" s="43">
        <v>5</v>
      </c>
      <c r="I24" s="24">
        <v>106</v>
      </c>
    </row>
    <row r="25" spans="1:9" ht="15" customHeight="1" outlineLevel="2">
      <c r="A25" t="s">
        <v>16</v>
      </c>
      <c r="B25" t="s">
        <v>74</v>
      </c>
      <c r="C25" t="s">
        <v>45</v>
      </c>
      <c r="D25" s="23">
        <v>44058</v>
      </c>
      <c r="E25" s="37">
        <v>0.70833333333333337</v>
      </c>
      <c r="F25" s="23">
        <v>44063</v>
      </c>
      <c r="G25" s="37">
        <v>0.45833333333333331</v>
      </c>
      <c r="H25" s="43">
        <v>5</v>
      </c>
      <c r="I25" s="24">
        <v>106</v>
      </c>
    </row>
    <row r="26" spans="1:9" ht="15" customHeight="1" outlineLevel="2">
      <c r="A26" t="s">
        <v>97</v>
      </c>
      <c r="B26" s="48" t="s">
        <v>74</v>
      </c>
      <c r="C26" t="s">
        <v>51</v>
      </c>
      <c r="D26" s="23">
        <v>44131</v>
      </c>
      <c r="E26" s="37">
        <v>0.95833333333333337</v>
      </c>
      <c r="F26" s="49"/>
      <c r="G26" s="49"/>
      <c r="H26" s="49"/>
      <c r="I26" s="49"/>
    </row>
    <row r="27" spans="1:9" ht="15" customHeight="1" outlineLevel="1">
      <c r="B27" s="61" t="s">
        <v>102</v>
      </c>
      <c r="D27" s="58">
        <f>SUBTOTAL(3,D21:D26)</f>
        <v>6</v>
      </c>
      <c r="E27" s="37"/>
      <c r="F27" s="62">
        <f>SUBTOTAL(3,F21:F26)</f>
        <v>5</v>
      </c>
      <c r="G27" s="49"/>
      <c r="H27" s="49"/>
      <c r="I27" s="49"/>
    </row>
    <row r="28" spans="1:9" ht="15" customHeight="1" outlineLevel="2">
      <c r="B28" s="48" t="s">
        <v>108</v>
      </c>
      <c r="D28" s="23"/>
      <c r="E28" s="37"/>
      <c r="F28" s="49"/>
      <c r="G28" s="49"/>
      <c r="H28" s="49"/>
      <c r="I28" s="49">
        <v>599</v>
      </c>
    </row>
    <row r="29" spans="1:9" ht="15" customHeight="1" outlineLevel="1">
      <c r="B29" s="61" t="s">
        <v>111</v>
      </c>
      <c r="D29" s="58">
        <f>SUBTOTAL(3,D28:D28)</f>
        <v>0</v>
      </c>
      <c r="E29" s="37"/>
      <c r="F29" s="62">
        <f>SUBTOTAL(3,F28:F28)</f>
        <v>0</v>
      </c>
      <c r="G29" s="49"/>
      <c r="H29" s="49"/>
      <c r="I29" s="49"/>
    </row>
    <row r="30" spans="1:9" ht="15" customHeight="1" outlineLevel="2">
      <c r="A30" t="s">
        <v>98</v>
      </c>
      <c r="B30" s="48" t="s">
        <v>94</v>
      </c>
      <c r="C30" t="s">
        <v>51</v>
      </c>
      <c r="D30" s="23">
        <v>44131</v>
      </c>
      <c r="E30" s="37">
        <v>0.52083333333333337</v>
      </c>
      <c r="F30" s="50"/>
      <c r="G30" s="51"/>
      <c r="H30" s="52"/>
      <c r="I30" s="53"/>
    </row>
    <row r="31" spans="1:9" ht="15" customHeight="1" outlineLevel="2">
      <c r="A31" t="s">
        <v>98</v>
      </c>
      <c r="B31" s="48" t="s">
        <v>94</v>
      </c>
      <c r="C31" t="s">
        <v>40</v>
      </c>
      <c r="D31" s="23">
        <v>44131</v>
      </c>
      <c r="E31" s="37">
        <v>0.52083333333333337</v>
      </c>
      <c r="F31" s="50"/>
      <c r="G31" s="51"/>
      <c r="H31" s="52"/>
      <c r="I31" s="53"/>
    </row>
    <row r="32" spans="1:9" ht="15" customHeight="1" outlineLevel="2">
      <c r="A32" t="s">
        <v>98</v>
      </c>
      <c r="B32" s="48" t="s">
        <v>94</v>
      </c>
      <c r="C32" t="s">
        <v>52</v>
      </c>
      <c r="D32" s="23">
        <v>44131</v>
      </c>
      <c r="E32" s="37">
        <v>0.52083333333333337</v>
      </c>
      <c r="F32" s="50"/>
      <c r="G32" s="51"/>
      <c r="H32" s="52"/>
      <c r="I32" s="53"/>
    </row>
    <row r="33" spans="1:9" ht="15" customHeight="1" outlineLevel="2">
      <c r="A33" t="s">
        <v>98</v>
      </c>
      <c r="B33" s="48" t="s">
        <v>94</v>
      </c>
      <c r="C33" t="s">
        <v>31</v>
      </c>
      <c r="D33" s="23">
        <v>44131</v>
      </c>
      <c r="E33" s="37">
        <v>0.52083333333333337</v>
      </c>
      <c r="F33" s="50"/>
      <c r="G33" s="51"/>
      <c r="H33" s="52"/>
      <c r="I33" s="53"/>
    </row>
    <row r="34" spans="1:9" ht="15" customHeight="1" outlineLevel="2">
      <c r="A34" t="s">
        <v>98</v>
      </c>
      <c r="B34" s="48" t="s">
        <v>94</v>
      </c>
      <c r="C34" t="s">
        <v>36</v>
      </c>
      <c r="D34" s="23">
        <v>44131</v>
      </c>
      <c r="E34" s="37">
        <v>0.52083333333333337</v>
      </c>
      <c r="F34" s="50"/>
      <c r="G34" s="51"/>
      <c r="H34" s="52"/>
      <c r="I34" s="53"/>
    </row>
    <row r="35" spans="1:9" ht="15" customHeight="1" outlineLevel="2">
      <c r="A35" t="s">
        <v>98</v>
      </c>
      <c r="B35" s="48" t="s">
        <v>94</v>
      </c>
      <c r="C35" t="s">
        <v>56</v>
      </c>
      <c r="D35" s="23">
        <v>44131</v>
      </c>
      <c r="E35" s="37">
        <v>0.52083333333333337</v>
      </c>
      <c r="F35" s="50"/>
      <c r="G35" s="51"/>
      <c r="H35" s="52"/>
      <c r="I35" s="53"/>
    </row>
    <row r="36" spans="1:9" ht="15" customHeight="1" outlineLevel="1">
      <c r="B36" s="61" t="s">
        <v>103</v>
      </c>
      <c r="D36" s="58">
        <f>SUBTOTAL(3,D30:D35)</f>
        <v>6</v>
      </c>
      <c r="E36" s="37"/>
      <c r="F36" s="63">
        <f>SUBTOTAL(3,F30:F35)</f>
        <v>0</v>
      </c>
      <c r="G36" s="51"/>
      <c r="H36" s="52"/>
      <c r="I36" s="53"/>
    </row>
    <row r="37" spans="1:9" ht="15" customHeight="1">
      <c r="B37" s="61" t="s">
        <v>104</v>
      </c>
      <c r="D37" s="58">
        <f>SUBTOTAL(3,D4:D35)</f>
        <v>23</v>
      </c>
      <c r="E37" s="37"/>
      <c r="F37" s="63">
        <f>SUBTOTAL(3,F4:F35)</f>
        <v>16</v>
      </c>
      <c r="G37" s="51"/>
      <c r="H37" s="52"/>
      <c r="I37" s="53"/>
    </row>
    <row r="38" spans="1:9" ht="15" customHeight="1">
      <c r="B38" s="48" t="s">
        <v>105</v>
      </c>
      <c r="D38" s="23"/>
      <c r="E38" s="37"/>
      <c r="F38" s="50"/>
      <c r="G38" s="51"/>
      <c r="H38" s="52"/>
      <c r="I38" s="53">
        <v>0</v>
      </c>
    </row>
  </sheetData>
  <sortState ref="A5:I39">
    <sortCondition ref="B4:B41"/>
  </sortState>
  <mergeCells count="2">
    <mergeCell ref="A1:D1"/>
    <mergeCell ref="A2:C2"/>
  </mergeCells>
  <conditionalFormatting sqref="A4:I4">
    <cfRule type="cellIs" dxfId="31" priority="31" operator="equal">
      <formula>" "</formula>
    </cfRule>
    <cfRule type="cellIs" dxfId="30" priority="32" operator="equal">
      <formula>""""""</formula>
    </cfRule>
  </conditionalFormatting>
  <conditionalFormatting sqref="A5:I5">
    <cfRule type="cellIs" dxfId="29" priority="29" operator="equal">
      <formula>" "</formula>
    </cfRule>
    <cfRule type="cellIs" dxfId="28" priority="30" operator="equal">
      <formula>""""""</formula>
    </cfRule>
  </conditionalFormatting>
  <conditionalFormatting sqref="A6:I6">
    <cfRule type="cellIs" dxfId="27" priority="27" operator="equal">
      <formula>" "</formula>
    </cfRule>
    <cfRule type="cellIs" dxfId="26" priority="28" operator="equal">
      <formula>""""""</formula>
    </cfRule>
  </conditionalFormatting>
  <conditionalFormatting sqref="A7:I7">
    <cfRule type="cellIs" dxfId="25" priority="25" operator="equal">
      <formula>" "</formula>
    </cfRule>
    <cfRule type="cellIs" dxfId="24" priority="26" operator="equal">
      <formula>""""""</formula>
    </cfRule>
  </conditionalFormatting>
  <conditionalFormatting sqref="A8:I11">
    <cfRule type="cellIs" dxfId="23" priority="23" operator="equal">
      <formula>" "</formula>
    </cfRule>
    <cfRule type="cellIs" dxfId="22" priority="24" operator="equal">
      <formula>""""""</formula>
    </cfRule>
  </conditionalFormatting>
  <conditionalFormatting sqref="A12:I12">
    <cfRule type="cellIs" dxfId="21" priority="21" operator="equal">
      <formula>" "</formula>
    </cfRule>
    <cfRule type="cellIs" dxfId="20" priority="22" operator="equal">
      <formula>""""""</formula>
    </cfRule>
  </conditionalFormatting>
  <conditionalFormatting sqref="A13:I13">
    <cfRule type="cellIs" dxfId="19" priority="19" operator="equal">
      <formula>" "</formula>
    </cfRule>
    <cfRule type="cellIs" dxfId="18" priority="20" operator="equal">
      <formula>""""""</formula>
    </cfRule>
  </conditionalFormatting>
  <conditionalFormatting sqref="A14:I14">
    <cfRule type="cellIs" dxfId="17" priority="17" operator="equal">
      <formula>" "</formula>
    </cfRule>
    <cfRule type="cellIs" dxfId="16" priority="18" operator="equal">
      <formula>""""""</formula>
    </cfRule>
  </conditionalFormatting>
  <conditionalFormatting sqref="A15:I15">
    <cfRule type="cellIs" dxfId="15" priority="15" operator="equal">
      <formula>" "</formula>
    </cfRule>
    <cfRule type="cellIs" dxfId="14" priority="16" operator="equal">
      <formula>""""""</formula>
    </cfRule>
  </conditionalFormatting>
  <conditionalFormatting sqref="A16:I16">
    <cfRule type="cellIs" dxfId="13" priority="13" operator="equal">
      <formula>" "</formula>
    </cfRule>
    <cfRule type="cellIs" dxfId="12" priority="14" operator="equal">
      <formula>""""""</formula>
    </cfRule>
  </conditionalFormatting>
  <conditionalFormatting sqref="A17:I20">
    <cfRule type="cellIs" dxfId="11" priority="11" operator="equal">
      <formula>" "</formula>
    </cfRule>
    <cfRule type="cellIs" dxfId="10" priority="12" operator="equal">
      <formula>""""""</formula>
    </cfRule>
  </conditionalFormatting>
  <conditionalFormatting sqref="A21:I21">
    <cfRule type="cellIs" dxfId="9" priority="9" operator="equal">
      <formula>" "</formula>
    </cfRule>
    <cfRule type="cellIs" dxfId="8" priority="10" operator="equal">
      <formula>""""""</formula>
    </cfRule>
  </conditionalFormatting>
  <conditionalFormatting sqref="A22:I22">
    <cfRule type="cellIs" dxfId="7" priority="7" operator="equal">
      <formula>" "</formula>
    </cfRule>
    <cfRule type="cellIs" dxfId="6" priority="8" operator="equal">
      <formula>""""""</formula>
    </cfRule>
  </conditionalFormatting>
  <conditionalFormatting sqref="A23:I23">
    <cfRule type="cellIs" dxfId="5" priority="5" operator="equal">
      <formula>" "</formula>
    </cfRule>
    <cfRule type="cellIs" dxfId="4" priority="6" operator="equal">
      <formula>""""""</formula>
    </cfRule>
  </conditionalFormatting>
  <conditionalFormatting sqref="A24:I24">
    <cfRule type="cellIs" dxfId="3" priority="3" operator="equal">
      <formula>" "</formula>
    </cfRule>
    <cfRule type="cellIs" dxfId="2" priority="4" operator="equal">
      <formula>""""""</formula>
    </cfRule>
  </conditionalFormatting>
  <conditionalFormatting sqref="A25:I25">
    <cfRule type="cellIs" dxfId="1" priority="1" operator="equal">
      <formula>" "</formula>
    </cfRule>
    <cfRule type="cellIs" dxfId="0" priority="2" operator="equal">
      <formula>""""""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Customers</vt:lpstr>
      <vt:lpstr>Product Type</vt:lpstr>
      <vt:lpstr>Products</vt:lpstr>
      <vt:lpstr>Rentals</vt:lpstr>
      <vt:lpstr>Menu</vt:lpstr>
      <vt:lpstr>Summary1</vt:lpstr>
      <vt:lpstr>Summary</vt:lpstr>
      <vt:lpstr>Data</vt:lpstr>
      <vt:lpstr>Product_Type</vt:lpstr>
      <vt:lpstr>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WONG</dc:creator>
  <cp:lastModifiedBy>Jason Siu</cp:lastModifiedBy>
  <cp:lastPrinted>2020-10-25T08:16:24Z</cp:lastPrinted>
  <dcterms:created xsi:type="dcterms:W3CDTF">2019-09-06T12:13:43Z</dcterms:created>
  <dcterms:modified xsi:type="dcterms:W3CDTF">2020-10-27T13:16:22Z</dcterms:modified>
</cp:coreProperties>
</file>